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48d73b3c1c087c/Documents/College/Mines/645 - Comp Econ/Project/"/>
    </mc:Choice>
  </mc:AlternateContent>
  <xr:revisionPtr revIDLastSave="80" documentId="8_{1AC1D490-CBEE-4898-9537-15369DF7389E}" xr6:coauthVersionLast="47" xr6:coauthVersionMax="47" xr10:uidLastSave="{9D236DD8-DD1A-4A8E-95F8-9FC541E76585}"/>
  <bookViews>
    <workbookView xWindow="28680" yWindow="-120" windowWidth="29040" windowHeight="15720" xr2:uid="{C39A08D9-13F0-439D-9C5A-1A0FBCFFC804}"/>
  </bookViews>
  <sheets>
    <sheet name="Reform" sheetId="1" r:id="rId1"/>
    <sheet name="Bas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2" i="2"/>
  <c r="E14" i="2"/>
  <c r="D11" i="2"/>
  <c r="D10" i="2"/>
  <c r="D9" i="2"/>
  <c r="D8" i="2"/>
  <c r="D7" i="2"/>
  <c r="D6" i="2"/>
  <c r="D5" i="2"/>
  <c r="D4" i="2"/>
  <c r="D3" i="2"/>
  <c r="D2" i="2"/>
  <c r="E13" i="2"/>
  <c r="E13" i="1"/>
  <c r="E14" i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<sst xmlns="http://schemas.openxmlformats.org/spreadsheetml/2006/main" count="30" uniqueCount="25">
  <si>
    <t>Plant Name</t>
  </si>
  <si>
    <t>Construction Start Date</t>
  </si>
  <si>
    <t xml:space="preserve">	Commercial Operation Date</t>
  </si>
  <si>
    <t>Fuqing-1</t>
  </si>
  <si>
    <t>Fuqing-2</t>
  </si>
  <si>
    <t>Fuqing-3</t>
  </si>
  <si>
    <t>Fuqing-4</t>
  </si>
  <si>
    <t>Changjiang-1</t>
  </si>
  <si>
    <t>Shin-Hanul-1</t>
  </si>
  <si>
    <t>Shin-Hanul-2</t>
  </si>
  <si>
    <t>Hanul-5</t>
  </si>
  <si>
    <t>Hanul-6</t>
  </si>
  <si>
    <t>Hanbit-5</t>
  </si>
  <si>
    <t>Construction Duration (Years)</t>
  </si>
  <si>
    <t>Construction Duration (Days)</t>
  </si>
  <si>
    <t>Vogtle-3</t>
  </si>
  <si>
    <t>Vogtle-4</t>
  </si>
  <si>
    <t>Watts Bar-2</t>
  </si>
  <si>
    <t>Perry-1</t>
  </si>
  <si>
    <t>Seabrook-1</t>
  </si>
  <si>
    <t>Comanche Peak-1</t>
  </si>
  <si>
    <t>Comanche Peak-2</t>
  </si>
  <si>
    <t>Palo Verde-1</t>
  </si>
  <si>
    <t>Palo Verde-2</t>
  </si>
  <si>
    <t>Palo Verde-3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</si>
</sst>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43" fontId="0" fillId="0" borderId="0" xfId="1" applyFont="1"/>
    <xf numFmtId="169" fontId="0" fillId="0" borderId="0" xfId="1" applyNumberFormat="1" applyFont="1"/>
    <xf numFmtId="43" fontId="0" fillId="0" borderId="0" xfId="0" applyNumberFormat="1"/>
    <xf numFmtId="0" fontId="2" fillId="0" borderId="0" xfId="0" applyFont="1"/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9B6F-1ED8-4CE3-A81B-041C62AA0BAF}">
  <dimension ref="A1:F14"/>
  <sheetViews>
    <sheetView tabSelected="1" workbookViewId="0">
      <selection activeCell="E13" sqref="E13"/>
    </sheetView>
  </sheetViews>
  <sheetFormatPr defaultRowHeight="15" x14ac:dyDescent="0.25"/>
  <cols>
    <col min="1" max="1" width="11.28515625" bestFit="1" customWidth="1"/>
    <col min="2" max="2" width="21.5703125" bestFit="1" customWidth="1"/>
    <col min="3" max="3" width="26.85546875" bestFit="1" customWidth="1"/>
    <col min="4" max="4" width="27.140625" bestFit="1" customWidth="1"/>
    <col min="5" max="5" width="28.570312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14</v>
      </c>
      <c r="E1" s="6" t="s">
        <v>13</v>
      </c>
    </row>
    <row r="2" spans="1:6" x14ac:dyDescent="0.25">
      <c r="A2" t="s">
        <v>3</v>
      </c>
      <c r="B2" s="1">
        <v>39773</v>
      </c>
      <c r="C2" s="1">
        <v>41965</v>
      </c>
      <c r="D2" s="4">
        <f>C2-B2</f>
        <v>2192</v>
      </c>
      <c r="E2" s="5">
        <f>D2/365.25</f>
        <v>6.0013689253935665</v>
      </c>
      <c r="F2" s="5"/>
    </row>
    <row r="3" spans="1:6" x14ac:dyDescent="0.25">
      <c r="A3" t="s">
        <v>4</v>
      </c>
      <c r="B3" s="1">
        <v>39981</v>
      </c>
      <c r="C3" s="1">
        <v>42233</v>
      </c>
      <c r="D3" s="4">
        <f t="shared" ref="D3:D11" si="0">C3-B3</f>
        <v>2252</v>
      </c>
      <c r="E3" s="5">
        <f t="shared" ref="E3:E11" si="1">D3/365.25</f>
        <v>6.1656399726214923</v>
      </c>
      <c r="F3" s="5"/>
    </row>
    <row r="4" spans="1:6" x14ac:dyDescent="0.25">
      <c r="A4" t="s">
        <v>5</v>
      </c>
      <c r="B4" s="1">
        <v>40347</v>
      </c>
      <c r="C4" s="1">
        <v>42454</v>
      </c>
      <c r="D4" s="4">
        <f t="shared" si="0"/>
        <v>2107</v>
      </c>
      <c r="E4" s="5">
        <f t="shared" si="1"/>
        <v>5.7686516084873372</v>
      </c>
      <c r="F4" s="5"/>
    </row>
    <row r="5" spans="1:6" x14ac:dyDescent="0.25">
      <c r="A5" t="s">
        <v>6</v>
      </c>
      <c r="B5" s="1">
        <v>40450</v>
      </c>
      <c r="C5" s="1">
        <v>42744</v>
      </c>
      <c r="D5" s="4">
        <f t="shared" si="0"/>
        <v>2294</v>
      </c>
      <c r="E5" s="5">
        <f t="shared" si="1"/>
        <v>6.2806297056810401</v>
      </c>
      <c r="F5" s="5"/>
    </row>
    <row r="6" spans="1:6" x14ac:dyDescent="0.25">
      <c r="A6" t="s">
        <v>7</v>
      </c>
      <c r="B6" s="1">
        <v>40293</v>
      </c>
      <c r="C6" s="1">
        <v>42368</v>
      </c>
      <c r="D6" s="4">
        <f t="shared" si="0"/>
        <v>2075</v>
      </c>
      <c r="E6" s="5">
        <f t="shared" si="1"/>
        <v>5.6810403832991101</v>
      </c>
      <c r="F6" s="5"/>
    </row>
    <row r="7" spans="1:6" x14ac:dyDescent="0.25">
      <c r="A7" t="s">
        <v>8</v>
      </c>
      <c r="B7" s="1">
        <v>41102</v>
      </c>
      <c r="C7" s="1">
        <v>43448</v>
      </c>
      <c r="D7" s="4">
        <f t="shared" si="0"/>
        <v>2346</v>
      </c>
      <c r="E7" s="5">
        <f t="shared" si="1"/>
        <v>6.4229979466119094</v>
      </c>
      <c r="F7" s="5"/>
    </row>
    <row r="8" spans="1:6" x14ac:dyDescent="0.25">
      <c r="A8" t="s">
        <v>9</v>
      </c>
      <c r="B8" s="1">
        <v>41089</v>
      </c>
      <c r="C8" s="1">
        <v>43749</v>
      </c>
      <c r="D8" s="4">
        <f t="shared" si="0"/>
        <v>2660</v>
      </c>
      <c r="E8" s="5">
        <f t="shared" si="1"/>
        <v>7.2826830937713893</v>
      </c>
      <c r="F8" s="5"/>
    </row>
    <row r="9" spans="1:6" x14ac:dyDescent="0.25">
      <c r="A9" t="s">
        <v>10</v>
      </c>
      <c r="B9" s="1">
        <v>39616</v>
      </c>
      <c r="C9" s="1">
        <v>42208</v>
      </c>
      <c r="D9" s="4">
        <f t="shared" si="0"/>
        <v>2592</v>
      </c>
      <c r="E9" s="5">
        <f t="shared" si="1"/>
        <v>7.0965092402464069</v>
      </c>
      <c r="F9" s="5"/>
    </row>
    <row r="10" spans="1:6" x14ac:dyDescent="0.25">
      <c r="A10" t="s">
        <v>11</v>
      </c>
      <c r="B10" s="1">
        <v>39846</v>
      </c>
      <c r="C10" s="1">
        <v>42620</v>
      </c>
      <c r="D10" s="4">
        <f t="shared" si="0"/>
        <v>2774</v>
      </c>
      <c r="E10" s="5">
        <f t="shared" si="1"/>
        <v>7.5947980835044486</v>
      </c>
      <c r="F10" s="5"/>
    </row>
    <row r="11" spans="1:6" x14ac:dyDescent="0.25">
      <c r="A11" t="s">
        <v>12</v>
      </c>
      <c r="B11" s="1">
        <v>39764</v>
      </c>
      <c r="C11" s="1">
        <v>41989</v>
      </c>
      <c r="D11" s="4">
        <f t="shared" si="0"/>
        <v>2225</v>
      </c>
      <c r="E11" s="5">
        <f t="shared" si="1"/>
        <v>6.0917180013689256</v>
      </c>
      <c r="F11" s="5"/>
    </row>
    <row r="13" spans="1:6" x14ac:dyDescent="0.25">
      <c r="E13" s="5">
        <f>AVERAGE(E2:E11)</f>
        <v>6.4386036960985624</v>
      </c>
    </row>
    <row r="14" spans="1:6" x14ac:dyDescent="0.25">
      <c r="E14" s="3">
        <f>_xlfn.STDEV.S(E2:E11)</f>
        <v>0.659633367357356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FDEC-C481-4B0E-9332-8AEE431DD08C}">
  <dimension ref="A1:E14"/>
  <sheetViews>
    <sheetView workbookViewId="0">
      <selection activeCell="A11" sqref="A2:A11"/>
    </sheetView>
  </sheetViews>
  <sheetFormatPr defaultRowHeight="15" x14ac:dyDescent="0.25"/>
  <cols>
    <col min="1" max="1" width="17" style="9" bestFit="1" customWidth="1"/>
    <col min="2" max="2" width="22.7109375" bestFit="1" customWidth="1"/>
    <col min="3" max="3" width="27.5703125" bestFit="1" customWidth="1"/>
    <col min="4" max="4" width="28" bestFit="1" customWidth="1"/>
    <col min="5" max="5" width="28.5703125" bestFit="1" customWidth="1"/>
  </cols>
  <sheetData>
    <row r="1" spans="1:5" x14ac:dyDescent="0.25">
      <c r="A1" s="7" t="s">
        <v>0</v>
      </c>
      <c r="B1" s="6" t="s">
        <v>1</v>
      </c>
      <c r="C1" s="6" t="s">
        <v>2</v>
      </c>
      <c r="D1" s="6" t="s">
        <v>14</v>
      </c>
      <c r="E1" s="6" t="s">
        <v>13</v>
      </c>
    </row>
    <row r="2" spans="1:5" x14ac:dyDescent="0.25">
      <c r="A2" s="8" t="s">
        <v>15</v>
      </c>
      <c r="B2" s="2">
        <v>41345</v>
      </c>
      <c r="C2" s="2">
        <v>45138</v>
      </c>
      <c r="D2">
        <f>C2-B2</f>
        <v>3793</v>
      </c>
      <c r="E2" s="5">
        <f>D2/365.25</f>
        <v>10.38466803559206</v>
      </c>
    </row>
    <row r="3" spans="1:5" x14ac:dyDescent="0.25">
      <c r="A3" s="8" t="s">
        <v>16</v>
      </c>
      <c r="B3" s="2">
        <v>41587</v>
      </c>
      <c r="C3" s="2">
        <v>45411</v>
      </c>
      <c r="D3">
        <f>C3-B3</f>
        <v>3824</v>
      </c>
      <c r="E3" s="5">
        <f t="shared" ref="E3:E11" si="0">D3/365.25</f>
        <v>10.469541409993155</v>
      </c>
    </row>
    <row r="4" spans="1:5" x14ac:dyDescent="0.25">
      <c r="A4" s="8" t="s">
        <v>17</v>
      </c>
      <c r="B4" s="2">
        <v>26960</v>
      </c>
      <c r="C4" s="2">
        <v>42662</v>
      </c>
      <c r="D4">
        <f>C4-B4</f>
        <v>15702</v>
      </c>
      <c r="E4" s="5">
        <f t="shared" si="0"/>
        <v>42.989733059548257</v>
      </c>
    </row>
    <row r="5" spans="1:5" x14ac:dyDescent="0.25">
      <c r="A5" s="8" t="s">
        <v>18</v>
      </c>
      <c r="B5" s="2">
        <v>28338</v>
      </c>
      <c r="C5" s="2">
        <v>31734</v>
      </c>
      <c r="D5">
        <f>C5-B5</f>
        <v>3396</v>
      </c>
      <c r="E5" s="5">
        <f t="shared" si="0"/>
        <v>9.2977412731006162</v>
      </c>
    </row>
    <row r="6" spans="1:5" x14ac:dyDescent="0.25">
      <c r="A6" s="8" t="s">
        <v>19</v>
      </c>
      <c r="B6" s="2">
        <v>27942</v>
      </c>
      <c r="C6" s="2">
        <v>33104</v>
      </c>
      <c r="D6">
        <f>C6-B6</f>
        <v>5162</v>
      </c>
      <c r="E6" s="5">
        <f t="shared" si="0"/>
        <v>14.132785763175907</v>
      </c>
    </row>
    <row r="7" spans="1:5" x14ac:dyDescent="0.25">
      <c r="A7" s="8" t="s">
        <v>20</v>
      </c>
      <c r="B7" s="2">
        <v>27211</v>
      </c>
      <c r="C7" s="2">
        <v>33098</v>
      </c>
      <c r="D7">
        <f>C7-B7</f>
        <v>5887</v>
      </c>
      <c r="E7" s="5">
        <f t="shared" si="0"/>
        <v>16.11772758384668</v>
      </c>
    </row>
    <row r="8" spans="1:5" x14ac:dyDescent="0.25">
      <c r="A8" s="8" t="s">
        <v>21</v>
      </c>
      <c r="B8" s="2">
        <v>27546</v>
      </c>
      <c r="C8" s="2">
        <v>34080</v>
      </c>
      <c r="D8">
        <f>C8-B8</f>
        <v>6534</v>
      </c>
      <c r="E8" s="5">
        <f t="shared" si="0"/>
        <v>17.88911704312115</v>
      </c>
    </row>
    <row r="9" spans="1:5" x14ac:dyDescent="0.25">
      <c r="A9" s="8" t="s">
        <v>22</v>
      </c>
      <c r="B9" s="2">
        <v>27912</v>
      </c>
      <c r="C9" s="2">
        <v>31441</v>
      </c>
      <c r="D9">
        <f>C9-B9</f>
        <v>3529</v>
      </c>
      <c r="E9" s="5">
        <f t="shared" si="0"/>
        <v>9.6618754277891856</v>
      </c>
    </row>
    <row r="10" spans="1:5" x14ac:dyDescent="0.25">
      <c r="A10" s="8" t="s">
        <v>23</v>
      </c>
      <c r="B10" s="2">
        <v>28369</v>
      </c>
      <c r="C10" s="2">
        <v>31674</v>
      </c>
      <c r="D10">
        <f>C10-B10</f>
        <v>3305</v>
      </c>
      <c r="E10" s="5">
        <f t="shared" si="0"/>
        <v>9.0485968514715953</v>
      </c>
    </row>
    <row r="11" spans="1:5" x14ac:dyDescent="0.25">
      <c r="A11" s="8" t="s">
        <v>24</v>
      </c>
      <c r="B11" s="2">
        <v>28795</v>
      </c>
      <c r="C11" s="2">
        <v>32150</v>
      </c>
      <c r="D11">
        <f>C11-B11</f>
        <v>3355</v>
      </c>
      <c r="E11" s="5">
        <f t="shared" si="0"/>
        <v>9.1854893908282005</v>
      </c>
    </row>
    <row r="13" spans="1:5" x14ac:dyDescent="0.25">
      <c r="E13" s="5">
        <f>AVERAGE(E2:E11)</f>
        <v>14.917727583846679</v>
      </c>
    </row>
    <row r="14" spans="1:5" x14ac:dyDescent="0.25">
      <c r="E14" s="3">
        <f>_xlfn.STDEV.S(E2:E11)</f>
        <v>10.358953442356286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Reform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Linnebur</dc:creator>
  <cp:lastModifiedBy>Tyler Linnebur</cp:lastModifiedBy>
  <dcterms:created xsi:type="dcterms:W3CDTF">2025-12-16T15:21:05Z</dcterms:created>
  <dcterms:modified xsi:type="dcterms:W3CDTF">2025-12-16T15:40:46Z</dcterms:modified>
</cp:coreProperties>
</file>